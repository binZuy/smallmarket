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áng 8" sheetId="1" r:id="rId5"/>
    <sheet state="visible" name="Tháng 9" sheetId="2" r:id="rId6"/>
    <sheet state="visible" name="Tháng 10" sheetId="3" r:id="rId7"/>
  </sheets>
  <definedNames/>
  <calcPr/>
</workbook>
</file>

<file path=xl/sharedStrings.xml><?xml version="1.0" encoding="utf-8"?>
<sst xmlns="http://schemas.openxmlformats.org/spreadsheetml/2006/main" count="92" uniqueCount="48">
  <si>
    <t>Tháng 8</t>
  </si>
  <si>
    <t>T2</t>
  </si>
  <si>
    <t>T3</t>
  </si>
  <si>
    <t>T4</t>
  </si>
  <si>
    <t>T5</t>
  </si>
  <si>
    <t>T6</t>
  </si>
  <si>
    <t>Ca 1: 7h-12h30</t>
  </si>
  <si>
    <t>Hằng + Ly</t>
  </si>
  <si>
    <t>Châu + Hương</t>
  </si>
  <si>
    <t>M.Hương</t>
  </si>
  <si>
    <t>Ca 2: 12h-18h30</t>
  </si>
  <si>
    <t>Hằng + M.Hương</t>
  </si>
  <si>
    <t>Châu + M.Hương</t>
  </si>
  <si>
    <t>BẢNG CHẤM CÔNG THÁNG 08/2026</t>
  </si>
  <si>
    <t>Tên nhân viên</t>
  </si>
  <si>
    <t>Số giờ chính</t>
  </si>
  <si>
    <t>Lương</t>
  </si>
  <si>
    <t>STK</t>
  </si>
  <si>
    <t>Hằng</t>
  </si>
  <si>
    <t>NGHỈ HÈ</t>
  </si>
  <si>
    <t>NGHỈ LỄ</t>
  </si>
  <si>
    <t>1050982648 Vietcombank</t>
  </si>
  <si>
    <t>Hương</t>
  </si>
  <si>
    <t>MB 0332895654</t>
  </si>
  <si>
    <t>Châu</t>
  </si>
  <si>
    <t>Tech 8964471134</t>
  </si>
  <si>
    <t>Ly</t>
  </si>
  <si>
    <t>TPBANK  84418102006</t>
  </si>
  <si>
    <t>109877737249 viettinbank</t>
  </si>
  <si>
    <t>Tháng 9</t>
  </si>
  <si>
    <t>Ly + Nhàn</t>
  </si>
  <si>
    <t>Châu + Ly + Nhàn</t>
  </si>
  <si>
    <t>Châu + Huyền + Nhàn</t>
  </si>
  <si>
    <t>Dương + Huyền + Ly</t>
  </si>
  <si>
    <t>Châu + Huyền + Hương</t>
  </si>
  <si>
    <t xml:space="preserve">Dương + Châu </t>
  </si>
  <si>
    <t>Dương + Ly + Hương</t>
  </si>
  <si>
    <t>Châu(đến 4h) + Dương + Hương</t>
  </si>
  <si>
    <t>Châu + Dương + Hương</t>
  </si>
  <si>
    <t>Dương + Hương + Nhàn</t>
  </si>
  <si>
    <t>BẢNG CHẤM CÔNG THÁNG 09/2026</t>
  </si>
  <si>
    <t>Dương</t>
  </si>
  <si>
    <t>VCB 9965087148</t>
  </si>
  <si>
    <t>Huyền</t>
  </si>
  <si>
    <t>MB 0389411573</t>
  </si>
  <si>
    <t>Nhàn</t>
  </si>
  <si>
    <t>MB 0393700129</t>
  </si>
  <si>
    <t>Tháng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</si>
</sst>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d&quot;/&quot;mm"/>
  </numFmts>
  <fonts count="10">
    <font>
      <sz val="10.0"/>
      <color rgb="FF000000"/>
      <name val="Arial"/>
      <scheme val="minor"/>
    </font>
    <font>
      <b/>
      <sz val="20.0"/>
      <color rgb="FFFFFFFF"/>
      <name val="Times New Roman"/>
    </font>
    <font/>
    <font>
      <color theme="1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b/>
      <sz val="15.0"/>
      <color rgb="FF000000"/>
      <name val="Times New Roman"/>
    </font>
    <font>
      <b/>
      <sz val="13.0"/>
      <color theme="1"/>
      <name val="Times New Roman"/>
    </font>
    <font>
      <sz val="12.0"/>
      <color theme="1"/>
      <name val="Arial"/>
    </font>
    <font>
      <color rgb="FF98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4" fontId="7" numFmtId="0" xfId="0" applyAlignment="1" applyBorder="1" applyFill="1" applyFont="1">
      <alignment horizontal="center" shrinkToFit="0" vertical="center" wrapText="1"/>
    </xf>
    <xf borderId="4" fillId="4" fontId="4" numFmtId="164" xfId="0" applyAlignment="1" applyBorder="1" applyFill="1" applyFont="1" applyNumberFormat="1">
      <alignment horizontal="center" readingOrder="0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5" fillId="5" fontId="4" numFmtId="0" xfId="0" applyAlignment="1" applyBorder="1" applyFill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4" fontId="8" numFmtId="0" xfId="0" applyAlignment="1" applyBorder="1" applyFill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readingOrder="0" shrinkToFit="0" vertical="center" wrapText="1"/>
    </xf>
    <xf borderId="5" fillId="5" fontId="8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0" fillId="0" fontId="4" numFmtId="0" xfId="0" applyAlignment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4" fillId="4" fontId="4" numFmtId="165" xfId="0" applyAlignment="1" applyBorder="1" applyFill="1" applyFont="1" applyNumberFormat="1">
      <alignment horizontal="center" readingOrder="0" shrinkToFit="0" vertical="center" wrapText="1"/>
    </xf>
    <xf borderId="13" fillId="4" fontId="5" numFmtId="0" xfId="0" applyAlignment="1" applyBorder="1" applyFill="1" applyFont="1">
      <alignment horizontal="center" readingOrder="0" shrinkToFit="0" vertical="center" wrapText="1"/>
    </xf>
    <xf borderId="13" fillId="4" fontId="4" numFmtId="0" xfId="0" applyAlignment="1" applyBorder="1" applyFill="1" applyFont="1">
      <alignment horizontal="center" readingOrder="0" shrinkToFit="0" vertical="center" wrapText="1"/>
    </xf>
    <xf borderId="13" fillId="4" fontId="8" numFmtId="0" xfId="0" applyAlignment="1" applyBorder="1" applyFill="1" applyFont="1">
      <alignment horizontal="center" readingOrder="0" shrinkToFit="0" vertical="center" wrapText="1"/>
    </xf>
    <xf borderId="13" fillId="4" fontId="8" numFmtId="0" xfId="0" applyAlignment="1" applyBorder="1" applyFill="1" applyFont="1">
      <alignment horizontal="center" shrinkToFit="0" vertical="center" wrapText="1"/>
    </xf>
    <xf borderId="13" fillId="4" fontId="4" numFmtId="0" xfId="0" applyAlignment="1" applyBorder="1" applyFill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33" width="5.13"/>
    <col customWidth="1" min="34" max="34" width="7.63"/>
    <col customWidth="1" min="35" max="35" width="13.0"/>
  </cols>
  <sheetData>
    <row r="1" ht="28.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26.25" customHeight="1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ht="31.5" customHeight="1">
      <c r="A3" s="7" t="s">
        <v>6</v>
      </c>
      <c r="B3" s="6" t="s">
        <v>7</v>
      </c>
      <c r="C3" s="6" t="s">
        <v>7</v>
      </c>
      <c r="D3" s="6" t="s">
        <v>8</v>
      </c>
      <c r="E3" s="6" t="s">
        <v>9</v>
      </c>
      <c r="F3" s="6" t="s">
        <v>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31.5" customHeight="1">
      <c r="A4" s="7" t="s">
        <v>10</v>
      </c>
      <c r="B4" s="6" t="s">
        <v>7</v>
      </c>
      <c r="C4" s="6" t="s">
        <v>11</v>
      </c>
      <c r="D4" s="6" t="s">
        <v>8</v>
      </c>
      <c r="E4" s="6" t="s">
        <v>12</v>
      </c>
      <c r="F4" s="6" t="s">
        <v>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22.5" customHeight="1">
      <c r="A5" s="8"/>
      <c r="AI5" s="8"/>
    </row>
    <row r="6">
      <c r="A6" s="9" t="s">
        <v>13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1"/>
    </row>
    <row r="7">
      <c r="A7" s="12" t="s">
        <v>14</v>
      </c>
      <c r="B7" s="13">
        <v>46235.0</v>
      </c>
      <c r="C7" s="13">
        <v>46236.0</v>
      </c>
      <c r="D7" s="13">
        <v>46237.0</v>
      </c>
      <c r="E7" s="13">
        <v>46238.0</v>
      </c>
      <c r="F7" s="13">
        <v>46239.0</v>
      </c>
      <c r="G7" s="13">
        <v>46240.0</v>
      </c>
      <c r="H7" s="13">
        <v>46241.0</v>
      </c>
      <c r="I7" s="13">
        <v>46242.0</v>
      </c>
      <c r="J7" s="13">
        <v>46243.0</v>
      </c>
      <c r="K7" s="13">
        <v>46244.0</v>
      </c>
      <c r="L7" s="13">
        <v>46245.0</v>
      </c>
      <c r="M7" s="13">
        <v>46246.0</v>
      </c>
      <c r="N7" s="13">
        <v>46247.0</v>
      </c>
      <c r="O7" s="13">
        <v>46248.0</v>
      </c>
      <c r="P7" s="13">
        <v>46249.0</v>
      </c>
      <c r="Q7" s="13">
        <v>46250.0</v>
      </c>
      <c r="R7" s="13">
        <v>46251.0</v>
      </c>
      <c r="S7" s="13">
        <v>46252.0</v>
      </c>
      <c r="T7" s="13">
        <v>46253.0</v>
      </c>
      <c r="U7" s="13">
        <v>46254.0</v>
      </c>
      <c r="V7" s="13">
        <v>46255.0</v>
      </c>
      <c r="W7" s="13">
        <v>46256.0</v>
      </c>
      <c r="X7" s="13">
        <v>46257.0</v>
      </c>
      <c r="Y7" s="13">
        <v>46258.0</v>
      </c>
      <c r="Z7" s="13">
        <v>46259.0</v>
      </c>
      <c r="AA7" s="13">
        <v>46260.0</v>
      </c>
      <c r="AB7" s="13">
        <v>46261.0</v>
      </c>
      <c r="AC7" s="13">
        <v>46262.0</v>
      </c>
      <c r="AD7" s="13">
        <v>46263.0</v>
      </c>
      <c r="AE7" s="13">
        <v>46264.0</v>
      </c>
      <c r="AF7" s="13">
        <v>46265.0</v>
      </c>
      <c r="AG7" s="14" t="s">
        <v>15</v>
      </c>
      <c r="AH7" s="15" t="s">
        <v>16</v>
      </c>
      <c r="AI7" s="16" t="s">
        <v>17</v>
      </c>
    </row>
    <row r="8">
      <c r="A8" s="17" t="s">
        <v>18</v>
      </c>
      <c r="B8" s="18" t="s">
        <v>19</v>
      </c>
      <c r="C8" s="19"/>
      <c r="D8" s="19"/>
      <c r="E8" s="19"/>
      <c r="F8" s="19"/>
      <c r="G8" s="19"/>
      <c r="H8" s="19"/>
      <c r="I8" s="19"/>
      <c r="J8" s="20"/>
      <c r="K8" s="21">
        <v>11.5</v>
      </c>
      <c r="L8" s="21">
        <v>11.5</v>
      </c>
      <c r="M8" s="22"/>
      <c r="N8" s="22"/>
      <c r="O8" s="22"/>
      <c r="P8" s="14"/>
      <c r="Q8" s="14"/>
      <c r="R8" s="21">
        <v>11.5</v>
      </c>
      <c r="S8" s="21">
        <v>11.5</v>
      </c>
      <c r="T8" s="22"/>
      <c r="U8" s="22"/>
      <c r="V8" s="22"/>
      <c r="W8" s="22"/>
      <c r="X8" s="14"/>
      <c r="Y8" s="23">
        <v>12.0</v>
      </c>
      <c r="Z8" s="21">
        <v>12.0</v>
      </c>
      <c r="AA8" s="22"/>
      <c r="AB8" s="22"/>
      <c r="AC8" s="22"/>
      <c r="AD8" s="24" t="s">
        <v>20</v>
      </c>
      <c r="AE8" s="19"/>
      <c r="AF8" s="20"/>
      <c r="AG8" s="25">
        <f>sum(B8:AF8)</f>
        <v>70</v>
      </c>
      <c r="AH8" s="26">
        <f t="shared" ref="AH8:AH12" si="1">25*AG8</f>
        <v>1750</v>
      </c>
      <c r="AI8" s="6" t="s">
        <v>21</v>
      </c>
    </row>
    <row r="9">
      <c r="A9" s="17" t="s">
        <v>22</v>
      </c>
      <c r="B9" s="27"/>
      <c r="J9" s="28"/>
      <c r="K9" s="22"/>
      <c r="L9" s="29"/>
      <c r="M9" s="21">
        <v>11.5</v>
      </c>
      <c r="N9" s="22"/>
      <c r="O9" s="21">
        <v>11.5</v>
      </c>
      <c r="P9" s="14"/>
      <c r="Q9" s="22"/>
      <c r="R9" s="22"/>
      <c r="S9" s="14"/>
      <c r="T9" s="23">
        <v>11.5</v>
      </c>
      <c r="U9" s="22"/>
      <c r="V9" s="21">
        <v>11.5</v>
      </c>
      <c r="W9" s="23">
        <v>11.5</v>
      </c>
      <c r="X9" s="21">
        <v>12.0</v>
      </c>
      <c r="Y9" s="21">
        <v>5.5</v>
      </c>
      <c r="Z9" s="21"/>
      <c r="AA9" s="21">
        <v>12.5</v>
      </c>
      <c r="AB9" s="22"/>
      <c r="AC9" s="21">
        <v>11.5</v>
      </c>
      <c r="AD9" s="27"/>
      <c r="AF9" s="28"/>
      <c r="AG9" s="25">
        <f>SUM(B9:AF9)</f>
        <v>99</v>
      </c>
      <c r="AH9" s="26">
        <f t="shared" si="1"/>
        <v>2475</v>
      </c>
      <c r="AI9" s="6" t="s">
        <v>23</v>
      </c>
    </row>
    <row r="10">
      <c r="A10" s="17" t="s">
        <v>24</v>
      </c>
      <c r="B10" s="27"/>
      <c r="J10" s="28"/>
      <c r="K10" s="22"/>
      <c r="L10" s="14"/>
      <c r="M10" s="21">
        <v>11.5</v>
      </c>
      <c r="N10" s="23">
        <v>7.5</v>
      </c>
      <c r="O10" s="21">
        <v>11.5</v>
      </c>
      <c r="P10" s="14"/>
      <c r="Q10" s="22"/>
      <c r="R10" s="22"/>
      <c r="S10" s="14"/>
      <c r="T10" s="21">
        <v>11.5</v>
      </c>
      <c r="U10" s="21">
        <v>7.5</v>
      </c>
      <c r="V10" s="21">
        <v>11.5</v>
      </c>
      <c r="W10" s="23">
        <v>11.5</v>
      </c>
      <c r="X10" s="21">
        <v>12.0</v>
      </c>
      <c r="Y10" s="21">
        <v>4.0</v>
      </c>
      <c r="Z10" s="22"/>
      <c r="AA10" s="21">
        <v>10.5</v>
      </c>
      <c r="AB10" s="23">
        <v>8.5</v>
      </c>
      <c r="AC10" s="21">
        <v>11.5</v>
      </c>
      <c r="AD10" s="27"/>
      <c r="AF10" s="28"/>
      <c r="AG10" s="25">
        <f t="shared" ref="AG10:AG12" si="2">sum(B10:AF10)</f>
        <v>119</v>
      </c>
      <c r="AH10" s="26">
        <f t="shared" si="1"/>
        <v>2975</v>
      </c>
      <c r="AI10" s="6" t="s">
        <v>25</v>
      </c>
    </row>
    <row r="11">
      <c r="A11" s="17" t="s">
        <v>26</v>
      </c>
      <c r="B11" s="27"/>
      <c r="J11" s="28"/>
      <c r="K11" s="21">
        <v>11.5</v>
      </c>
      <c r="L11" s="21">
        <v>5.5</v>
      </c>
      <c r="M11" s="22"/>
      <c r="N11" s="22"/>
      <c r="O11" s="22"/>
      <c r="P11" s="22"/>
      <c r="Q11" s="22"/>
      <c r="R11" s="21">
        <v>11.5</v>
      </c>
      <c r="S11" s="21">
        <v>5.5</v>
      </c>
      <c r="T11" s="22"/>
      <c r="U11" s="22"/>
      <c r="V11" s="22"/>
      <c r="W11" s="14"/>
      <c r="X11" s="22"/>
      <c r="Y11" s="21">
        <v>10.0</v>
      </c>
      <c r="Z11" s="21">
        <v>4.0</v>
      </c>
      <c r="AA11" s="22"/>
      <c r="AB11" s="14"/>
      <c r="AC11" s="22"/>
      <c r="AD11" s="27"/>
      <c r="AF11" s="28"/>
      <c r="AG11" s="25">
        <f t="shared" si="2"/>
        <v>48</v>
      </c>
      <c r="AH11" s="26">
        <f t="shared" si="1"/>
        <v>1200</v>
      </c>
      <c r="AI11" s="6" t="s">
        <v>27</v>
      </c>
    </row>
    <row r="12">
      <c r="A12" s="17" t="s">
        <v>9</v>
      </c>
      <c r="B12" s="30"/>
      <c r="C12" s="31"/>
      <c r="D12" s="31"/>
      <c r="E12" s="31"/>
      <c r="F12" s="31"/>
      <c r="G12" s="31"/>
      <c r="H12" s="31"/>
      <c r="I12" s="31"/>
      <c r="J12" s="32"/>
      <c r="K12" s="22"/>
      <c r="L12" s="21">
        <v>6.5</v>
      </c>
      <c r="M12" s="14"/>
      <c r="N12" s="21">
        <v>9.0</v>
      </c>
      <c r="O12" s="14"/>
      <c r="P12" s="22"/>
      <c r="Q12" s="14"/>
      <c r="R12" s="22"/>
      <c r="S12" s="21">
        <v>6.5</v>
      </c>
      <c r="T12" s="22"/>
      <c r="U12" s="21">
        <v>11.5</v>
      </c>
      <c r="V12" s="22"/>
      <c r="W12" s="22"/>
      <c r="X12" s="22"/>
      <c r="Y12" s="22"/>
      <c r="Z12" s="21">
        <v>6.5</v>
      </c>
      <c r="AA12" s="22"/>
      <c r="AB12" s="21">
        <v>11.5</v>
      </c>
      <c r="AC12" s="22"/>
      <c r="AD12" s="30"/>
      <c r="AE12" s="31"/>
      <c r="AF12" s="32"/>
      <c r="AG12" s="25">
        <f t="shared" si="2"/>
        <v>51.5</v>
      </c>
      <c r="AH12" s="26">
        <f t="shared" si="1"/>
        <v>1287.5</v>
      </c>
      <c r="AI12" s="6" t="s">
        <v>28</v>
      </c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</row>
    <row r="15">
      <c r="A15" s="34"/>
      <c r="B15" s="34"/>
      <c r="C15" s="34"/>
      <c r="D15" s="34"/>
      <c r="E15" s="34"/>
      <c r="F15" s="34"/>
    </row>
    <row r="16">
      <c r="A16" s="34"/>
      <c r="B16" s="34"/>
      <c r="C16" s="34"/>
      <c r="D16" s="34"/>
      <c r="E16" s="34"/>
      <c r="F16" s="34"/>
    </row>
    <row r="17">
      <c r="A17" s="34"/>
      <c r="B17" s="34"/>
      <c r="C17" s="34"/>
      <c r="D17" s="34"/>
      <c r="E17" s="34"/>
      <c r="F17" s="34"/>
    </row>
    <row r="18">
      <c r="A18" s="34"/>
      <c r="B18" s="34"/>
      <c r="C18" s="34"/>
      <c r="D18" s="34"/>
      <c r="E18" s="34"/>
      <c r="F18" s="34"/>
    </row>
    <row r="19">
      <c r="A19" s="34"/>
      <c r="B19" s="34"/>
      <c r="C19" s="34"/>
      <c r="D19" s="34"/>
      <c r="E19" s="34"/>
      <c r="F19" s="34"/>
    </row>
    <row r="20">
      <c r="A20" s="34"/>
      <c r="B20" s="34"/>
      <c r="C20" s="34"/>
      <c r="D20" s="34"/>
      <c r="E20" s="34"/>
      <c r="F20" s="34"/>
    </row>
    <row r="21">
      <c r="A21" s="34"/>
      <c r="B21" s="34"/>
      <c r="C21" s="34"/>
      <c r="D21" s="34"/>
      <c r="E21" s="34"/>
      <c r="F21" s="34"/>
    </row>
    <row r="22">
      <c r="A22" s="34"/>
      <c r="B22" s="34"/>
      <c r="C22" s="34"/>
      <c r="D22" s="34"/>
      <c r="E22" s="34"/>
      <c r="F22" s="34"/>
    </row>
    <row r="23">
      <c r="A23" s="34"/>
      <c r="B23" s="34"/>
      <c r="C23" s="34"/>
      <c r="D23" s="34"/>
      <c r="E23" s="34"/>
      <c r="F23" s="34"/>
    </row>
    <row r="24">
      <c r="A24" s="34"/>
      <c r="B24" s="34"/>
      <c r="C24" s="34"/>
      <c r="D24" s="34"/>
      <c r="E24" s="34"/>
      <c r="F24" s="34"/>
    </row>
    <row r="25">
      <c r="A25" s="34"/>
      <c r="B25" s="34"/>
      <c r="C25" s="34"/>
      <c r="D25" s="34"/>
      <c r="E25" s="34"/>
      <c r="F25" s="34"/>
    </row>
    <row r="26">
      <c r="A26" s="34"/>
      <c r="B26" s="34"/>
      <c r="C26" s="34"/>
      <c r="D26" s="34"/>
      <c r="E26" s="34"/>
      <c r="F26" s="34"/>
    </row>
    <row r="27">
      <c r="A27" s="34"/>
      <c r="B27" s="34"/>
      <c r="C27" s="34"/>
      <c r="D27" s="34"/>
      <c r="E27" s="34"/>
      <c r="F27" s="34"/>
    </row>
    <row r="28">
      <c r="A28" s="34"/>
      <c r="B28" s="34"/>
      <c r="C28" s="34"/>
      <c r="D28" s="34"/>
      <c r="E28" s="34"/>
      <c r="F28" s="34"/>
    </row>
  </sheetData>
  <mergeCells count="5">
    <mergeCell ref="A1:F1"/>
    <mergeCell ref="A5:AH5"/>
    <mergeCell ref="A6:AI6"/>
    <mergeCell ref="B8:J12"/>
    <mergeCell ref="AD8:AF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3" max="33" width="11.0"/>
  </cols>
  <sheetData>
    <row r="1">
      <c r="A1" s="1" t="s">
        <v>29</v>
      </c>
      <c r="B1" s="2"/>
      <c r="C1" s="2"/>
      <c r="D1" s="2"/>
      <c r="E1" s="2"/>
      <c r="F1" s="3"/>
    </row>
    <row r="2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>
      <c r="A3" s="7" t="s">
        <v>6</v>
      </c>
      <c r="B3" s="6" t="s">
        <v>30</v>
      </c>
      <c r="C3" s="6" t="s">
        <v>31</v>
      </c>
      <c r="D3" s="6" t="s">
        <v>32</v>
      </c>
      <c r="E3" s="6" t="s">
        <v>33</v>
      </c>
      <c r="F3" s="6" t="s">
        <v>34</v>
      </c>
    </row>
    <row r="4">
      <c r="A4" s="7" t="s">
        <v>10</v>
      </c>
      <c r="B4" s="6" t="s">
        <v>35</v>
      </c>
      <c r="C4" s="6" t="s">
        <v>36</v>
      </c>
      <c r="D4" s="6" t="s">
        <v>37</v>
      </c>
      <c r="E4" s="6" t="s">
        <v>38</v>
      </c>
      <c r="F4" s="6" t="s">
        <v>39</v>
      </c>
    </row>
    <row r="8">
      <c r="A8" s="9" t="s">
        <v>40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</row>
    <row r="9">
      <c r="A9" s="12" t="s">
        <v>14</v>
      </c>
      <c r="B9" s="13">
        <f t="array" ref="B9:AE9">SEQUENCE(1,30,DATE(2026,9,1),1)</f>
        <v>46266</v>
      </c>
      <c r="C9" s="35">
        <v>46267.0</v>
      </c>
      <c r="D9" s="13">
        <v>46268.0</v>
      </c>
      <c r="E9" s="13">
        <v>46269.0</v>
      </c>
      <c r="F9" s="13">
        <v>46270.0</v>
      </c>
      <c r="G9" s="13">
        <v>46271.0</v>
      </c>
      <c r="H9" s="13">
        <v>46272.0</v>
      </c>
      <c r="I9" s="13">
        <v>46273.0</v>
      </c>
      <c r="J9" s="13">
        <v>46274.0</v>
      </c>
      <c r="K9" s="13">
        <v>46275.0</v>
      </c>
      <c r="L9" s="13">
        <v>46276.0</v>
      </c>
      <c r="M9" s="13">
        <v>46277.0</v>
      </c>
      <c r="N9" s="13">
        <v>46278.0</v>
      </c>
      <c r="O9" s="13">
        <v>46279.0</v>
      </c>
      <c r="P9" s="13">
        <v>46280.0</v>
      </c>
      <c r="Q9" s="13">
        <v>46281.0</v>
      </c>
      <c r="R9" s="13">
        <v>46282.0</v>
      </c>
      <c r="S9" s="13">
        <v>46283.0</v>
      </c>
      <c r="T9" s="13">
        <v>46284.0</v>
      </c>
      <c r="U9" s="13">
        <v>46285.0</v>
      </c>
      <c r="V9" s="13">
        <v>46286.0</v>
      </c>
      <c r="W9" s="13">
        <v>46287.0</v>
      </c>
      <c r="X9" s="13">
        <v>46288.0</v>
      </c>
      <c r="Y9" s="13">
        <v>46289.0</v>
      </c>
      <c r="Z9" s="13">
        <v>46290.0</v>
      </c>
      <c r="AA9" s="13">
        <v>46291.0</v>
      </c>
      <c r="AB9" s="13">
        <v>46292.0</v>
      </c>
      <c r="AC9" s="13">
        <v>46293.0</v>
      </c>
      <c r="AD9" s="13">
        <v>46294.0</v>
      </c>
      <c r="AE9" s="13">
        <v>46295.0</v>
      </c>
      <c r="AF9" s="14" t="s">
        <v>15</v>
      </c>
      <c r="AG9" s="15" t="s">
        <v>16</v>
      </c>
      <c r="AH9" s="16" t="s">
        <v>17</v>
      </c>
    </row>
    <row r="10">
      <c r="A10" s="17" t="s">
        <v>22</v>
      </c>
      <c r="B10" s="23"/>
      <c r="C10" s="23"/>
      <c r="D10" s="23">
        <v>7.5</v>
      </c>
      <c r="E10" s="23">
        <v>13.0</v>
      </c>
      <c r="F10" s="23"/>
      <c r="G10" s="23"/>
      <c r="H10" s="23">
        <v>5.5</v>
      </c>
      <c r="I10" s="23">
        <v>8.0</v>
      </c>
      <c r="J10" s="23">
        <v>12.0</v>
      </c>
      <c r="K10" s="21">
        <v>7.5</v>
      </c>
      <c r="L10" s="21">
        <v>13.0</v>
      </c>
      <c r="M10" s="22"/>
      <c r="N10" s="22"/>
      <c r="O10" s="21">
        <v>2.5</v>
      </c>
      <c r="P10" s="23">
        <v>7.5</v>
      </c>
      <c r="Q10" s="23">
        <v>12.5</v>
      </c>
      <c r="R10" s="21">
        <v>9.5</v>
      </c>
      <c r="S10" s="21">
        <v>13.0</v>
      </c>
      <c r="T10" s="22"/>
      <c r="U10" s="22"/>
      <c r="V10" s="22"/>
      <c r="W10" s="21">
        <v>8.0</v>
      </c>
      <c r="X10" s="23">
        <v>7.5</v>
      </c>
      <c r="Y10" s="23">
        <v>9.0</v>
      </c>
      <c r="Z10" s="21">
        <v>13.0</v>
      </c>
      <c r="AA10" s="21">
        <v>7.5</v>
      </c>
      <c r="AB10" s="22"/>
      <c r="AC10" s="21">
        <v>5.0</v>
      </c>
      <c r="AD10" s="21"/>
      <c r="AE10" s="21">
        <v>12.5</v>
      </c>
      <c r="AF10" s="25">
        <f>sum(B10:AE10)</f>
        <v>174</v>
      </c>
      <c r="AG10" s="26">
        <f t="shared" ref="AG10:AG12" si="1">25*AF10</f>
        <v>4350</v>
      </c>
      <c r="AH10" s="6" t="s">
        <v>23</v>
      </c>
    </row>
    <row r="11">
      <c r="A11" s="17" t="s">
        <v>24</v>
      </c>
      <c r="B11" s="23"/>
      <c r="C11" s="23"/>
      <c r="D11" s="23">
        <v>7.5</v>
      </c>
      <c r="E11" s="23">
        <v>7.0</v>
      </c>
      <c r="F11" s="23"/>
      <c r="G11" s="23"/>
      <c r="H11" s="23">
        <v>9.0</v>
      </c>
      <c r="I11" s="23">
        <v>8.0</v>
      </c>
      <c r="J11" s="23">
        <v>12.0</v>
      </c>
      <c r="K11" s="21">
        <v>8.5</v>
      </c>
      <c r="L11" s="29">
        <v>9.0</v>
      </c>
      <c r="M11" s="21"/>
      <c r="N11" s="22"/>
      <c r="O11" s="21">
        <v>9.0</v>
      </c>
      <c r="P11" s="23">
        <v>6.0</v>
      </c>
      <c r="Q11" s="21">
        <v>12.5</v>
      </c>
      <c r="R11" s="21">
        <v>11.0</v>
      </c>
      <c r="S11" s="23">
        <v>10.0</v>
      </c>
      <c r="T11" s="23"/>
      <c r="U11" s="22"/>
      <c r="V11" s="21">
        <v>7.5</v>
      </c>
      <c r="W11" s="23">
        <v>7.5</v>
      </c>
      <c r="X11" s="21">
        <v>9.0</v>
      </c>
      <c r="Y11" s="21">
        <v>9.0</v>
      </c>
      <c r="Z11" s="21">
        <v>8.0</v>
      </c>
      <c r="AA11" s="21">
        <v>8.5</v>
      </c>
      <c r="AB11" s="22"/>
      <c r="AC11" s="21">
        <v>12.5</v>
      </c>
      <c r="AD11" s="21"/>
      <c r="AE11" s="21">
        <v>10.5</v>
      </c>
      <c r="AF11" s="25">
        <f>SUM(B11:AE11)</f>
        <v>182</v>
      </c>
      <c r="AG11" s="26">
        <f t="shared" si="1"/>
        <v>4550</v>
      </c>
      <c r="AH11" s="6" t="s">
        <v>25</v>
      </c>
    </row>
    <row r="12">
      <c r="A12" s="17" t="s">
        <v>26</v>
      </c>
      <c r="B12" s="23"/>
      <c r="C12" s="23"/>
      <c r="D12" s="23">
        <v>5.5</v>
      </c>
      <c r="E12" s="23"/>
      <c r="F12" s="23"/>
      <c r="G12" s="23"/>
      <c r="H12" s="23">
        <v>5.5</v>
      </c>
      <c r="I12" s="23">
        <v>11.5</v>
      </c>
      <c r="J12" s="23"/>
      <c r="K12" s="22"/>
      <c r="L12" s="14"/>
      <c r="M12" s="21"/>
      <c r="N12" s="23"/>
      <c r="O12" s="21">
        <v>12.5</v>
      </c>
      <c r="P12" s="23"/>
      <c r="Q12" s="22"/>
      <c r="R12" s="21">
        <v>5.5</v>
      </c>
      <c r="S12" s="14"/>
      <c r="T12" s="21"/>
      <c r="U12" s="21"/>
      <c r="V12" s="21">
        <v>5.5</v>
      </c>
      <c r="W12" s="23">
        <v>10.5</v>
      </c>
      <c r="X12" s="21"/>
      <c r="Y12" s="21">
        <v>5.5</v>
      </c>
      <c r="Z12" s="22"/>
      <c r="AA12" s="21"/>
      <c r="AB12" s="23"/>
      <c r="AC12" s="21">
        <v>5.5</v>
      </c>
      <c r="AD12" s="21">
        <v>11.5</v>
      </c>
      <c r="AE12" s="21"/>
      <c r="AF12" s="25">
        <f t="shared" ref="AF12:AF15" si="2">sum(B12:AE12)</f>
        <v>79</v>
      </c>
      <c r="AG12" s="26">
        <f t="shared" si="1"/>
        <v>1975</v>
      </c>
      <c r="AH12" s="6" t="s">
        <v>27</v>
      </c>
    </row>
    <row r="13">
      <c r="A13" s="36" t="s">
        <v>41</v>
      </c>
      <c r="B13" s="37"/>
      <c r="C13" s="37"/>
      <c r="D13" s="37"/>
      <c r="E13" s="37"/>
      <c r="F13" s="37"/>
      <c r="G13" s="37"/>
      <c r="H13" s="37"/>
      <c r="I13" s="37"/>
      <c r="J13" s="37"/>
      <c r="K13" s="38">
        <v>7.0</v>
      </c>
      <c r="L13" s="38">
        <v>7.5</v>
      </c>
      <c r="M13" s="38">
        <v>8.0</v>
      </c>
      <c r="N13" s="38"/>
      <c r="O13" s="38">
        <v>7.0</v>
      </c>
      <c r="P13" s="38">
        <v>8.0</v>
      </c>
      <c r="Q13" s="38">
        <v>8.0</v>
      </c>
      <c r="R13" s="38">
        <v>10.5</v>
      </c>
      <c r="S13" s="38">
        <v>11.0</v>
      </c>
      <c r="T13" s="39"/>
      <c r="U13" s="39"/>
      <c r="V13" s="38">
        <v>7.0</v>
      </c>
      <c r="W13" s="37">
        <v>7.5</v>
      </c>
      <c r="X13" s="38">
        <v>7.0</v>
      </c>
      <c r="Y13" s="38">
        <v>13.0</v>
      </c>
      <c r="Z13" s="38">
        <v>8.0</v>
      </c>
      <c r="AA13" s="39"/>
      <c r="AB13" s="40"/>
      <c r="AC13" s="38">
        <v>9.0</v>
      </c>
      <c r="AD13" s="38"/>
      <c r="AE13" s="38"/>
      <c r="AF13" s="41">
        <f t="shared" si="2"/>
        <v>118.5</v>
      </c>
      <c r="AG13" s="42">
        <f t="shared" ref="AG13:AG15" si="3">20*AF13</f>
        <v>2370</v>
      </c>
      <c r="AH13" s="6" t="s">
        <v>42</v>
      </c>
    </row>
    <row r="14">
      <c r="A14" s="43" t="s">
        <v>43</v>
      </c>
      <c r="B14" s="16"/>
      <c r="C14" s="16"/>
      <c r="D14" s="16"/>
      <c r="E14" s="16"/>
      <c r="F14" s="16"/>
      <c r="G14" s="16"/>
      <c r="H14" s="16"/>
      <c r="I14" s="16">
        <v>5.5</v>
      </c>
      <c r="J14" s="16"/>
      <c r="K14" s="44"/>
      <c r="L14" s="45">
        <v>5.5</v>
      </c>
      <c r="M14" s="46"/>
      <c r="N14" s="45"/>
      <c r="O14" s="46"/>
      <c r="P14" s="45">
        <v>5.5</v>
      </c>
      <c r="Q14" s="46"/>
      <c r="R14" s="45">
        <v>5.5</v>
      </c>
      <c r="S14" s="45">
        <v>4.5</v>
      </c>
      <c r="T14" s="44"/>
      <c r="U14" s="45"/>
      <c r="V14" s="44"/>
      <c r="W14" s="44"/>
      <c r="X14" s="45">
        <v>5.5</v>
      </c>
      <c r="Y14" s="45">
        <v>5.5</v>
      </c>
      <c r="Z14" s="45">
        <v>5.5</v>
      </c>
      <c r="AA14" s="44"/>
      <c r="AB14" s="45"/>
      <c r="AC14" s="44"/>
      <c r="AD14" s="45"/>
      <c r="AE14" s="45"/>
      <c r="AF14" s="5">
        <f t="shared" si="2"/>
        <v>43</v>
      </c>
      <c r="AG14" s="5">
        <f t="shared" si="3"/>
        <v>860</v>
      </c>
      <c r="AH14" s="6" t="s">
        <v>44</v>
      </c>
    </row>
    <row r="15">
      <c r="A15" s="47" t="s">
        <v>45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9">
        <v>8.0</v>
      </c>
      <c r="M15" s="48"/>
      <c r="N15" s="48"/>
      <c r="O15" s="49">
        <v>10.0</v>
      </c>
      <c r="P15" s="49">
        <v>5.0</v>
      </c>
      <c r="Q15" s="49">
        <v>5.5</v>
      </c>
      <c r="R15" s="48"/>
      <c r="S15" s="49">
        <v>4.5</v>
      </c>
      <c r="T15" s="48"/>
      <c r="U15" s="48"/>
      <c r="V15" s="49">
        <v>8.0</v>
      </c>
      <c r="W15" s="49">
        <v>6.0</v>
      </c>
      <c r="X15" s="49">
        <v>5.5</v>
      </c>
      <c r="Y15" s="48"/>
      <c r="Z15" s="49">
        <v>7.0</v>
      </c>
      <c r="AA15" s="48"/>
      <c r="AB15" s="48"/>
      <c r="AC15" s="48"/>
      <c r="AD15" s="49">
        <v>12.0</v>
      </c>
      <c r="AE15" s="48"/>
      <c r="AF15" s="48">
        <f t="shared" si="2"/>
        <v>71.5</v>
      </c>
      <c r="AG15" s="48">
        <f t="shared" si="3"/>
        <v>1430</v>
      </c>
      <c r="AH15" s="49" t="s">
        <v>46</v>
      </c>
    </row>
    <row r="27">
      <c r="E27" s="50"/>
    </row>
  </sheetData>
  <mergeCells count="2">
    <mergeCell ref="A1:F1"/>
    <mergeCell ref="A8:AH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</v>
      </c>
      <c r="B1" s="2"/>
      <c r="C1" s="2"/>
      <c r="D1" s="2"/>
      <c r="E1" s="2"/>
      <c r="F1" s="3"/>
    </row>
    <row r="2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>
      <c r="A3" s="7" t="s">
        <v>6</v>
      </c>
      <c r="B3" s="6"/>
      <c r="C3" s="6"/>
      <c r="D3" s="6"/>
      <c r="E3" s="6"/>
      <c r="F3" s="6"/>
    </row>
    <row r="4">
      <c r="A4" s="7" t="s">
        <v>10</v>
      </c>
      <c r="B4" s="6"/>
      <c r="C4" s="6"/>
      <c r="D4" s="6"/>
      <c r="E4" s="6"/>
      <c r="F4" s="6"/>
    </row>
    <row r="6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1"/>
    </row>
    <row r="7">
      <c r="A7" s="12" t="s">
        <v>14</v>
      </c>
      <c r="B7" s="13">
        <f t="array" ref="B7:AF7">SEQUENCE(1,31,DATE(2026,10,1),1)</f>
        <v>46296</v>
      </c>
      <c r="C7" s="35">
        <v>46297.0</v>
      </c>
      <c r="D7" s="13">
        <v>46298.0</v>
      </c>
      <c r="E7" s="13">
        <v>46299.0</v>
      </c>
      <c r="F7" s="13">
        <v>46300.0</v>
      </c>
      <c r="G7" s="13">
        <v>46301.0</v>
      </c>
      <c r="H7" s="13">
        <v>46302.0</v>
      </c>
      <c r="I7" s="13">
        <v>46303.0</v>
      </c>
      <c r="J7" s="13">
        <v>46304.0</v>
      </c>
      <c r="K7" s="13">
        <v>46305.0</v>
      </c>
      <c r="L7" s="13">
        <v>46306.0</v>
      </c>
      <c r="M7" s="13">
        <v>46307.0</v>
      </c>
      <c r="N7" s="13">
        <v>46308.0</v>
      </c>
      <c r="O7" s="13">
        <v>46309.0</v>
      </c>
      <c r="P7" s="13">
        <v>46310.0</v>
      </c>
      <c r="Q7" s="13">
        <v>46311.0</v>
      </c>
      <c r="R7" s="13">
        <v>46312.0</v>
      </c>
      <c r="S7" s="13">
        <v>46313.0</v>
      </c>
      <c r="T7" s="13">
        <v>46314.0</v>
      </c>
      <c r="U7" s="13">
        <v>46315.0</v>
      </c>
      <c r="V7" s="13">
        <v>46316.0</v>
      </c>
      <c r="W7" s="13">
        <v>46317.0</v>
      </c>
      <c r="X7" s="13">
        <v>46318.0</v>
      </c>
      <c r="Y7" s="13">
        <v>46319.0</v>
      </c>
      <c r="Z7" s="13">
        <v>46320.0</v>
      </c>
      <c r="AA7" s="13">
        <v>46321.0</v>
      </c>
      <c r="AB7" s="13">
        <v>46322.0</v>
      </c>
      <c r="AC7" s="13">
        <v>46323.0</v>
      </c>
      <c r="AD7" s="13">
        <v>46324.0</v>
      </c>
      <c r="AE7" s="13">
        <v>46325.0</v>
      </c>
      <c r="AF7" s="13">
        <v>46326.0</v>
      </c>
      <c r="AG7" s="14" t="s">
        <v>15</v>
      </c>
      <c r="AH7" s="15" t="s">
        <v>16</v>
      </c>
      <c r="AI7" s="16" t="s">
        <v>17</v>
      </c>
    </row>
    <row r="8">
      <c r="A8" s="17" t="s">
        <v>22</v>
      </c>
      <c r="B8" s="23"/>
      <c r="C8" s="23"/>
      <c r="D8" s="23"/>
      <c r="E8" s="23"/>
      <c r="F8" s="23"/>
      <c r="G8" s="23"/>
      <c r="H8" s="23"/>
      <c r="I8" s="23"/>
      <c r="J8" s="23"/>
      <c r="K8" s="21"/>
      <c r="L8" s="21"/>
      <c r="M8" s="22"/>
      <c r="N8" s="22"/>
      <c r="O8" s="21"/>
      <c r="P8" s="23"/>
      <c r="Q8" s="23"/>
      <c r="R8" s="21"/>
      <c r="S8" s="21"/>
      <c r="T8" s="22"/>
      <c r="U8" s="22"/>
      <c r="V8" s="22"/>
      <c r="W8" s="21"/>
      <c r="X8" s="23"/>
      <c r="Y8" s="23"/>
      <c r="Z8" s="21"/>
      <c r="AA8" s="21"/>
      <c r="AB8" s="22"/>
      <c r="AC8" s="22"/>
      <c r="AD8" s="21"/>
      <c r="AE8" s="21"/>
      <c r="AF8" s="21"/>
      <c r="AG8" s="25"/>
      <c r="AH8" s="26"/>
      <c r="AI8" s="6" t="s">
        <v>23</v>
      </c>
    </row>
    <row r="9">
      <c r="A9" s="17" t="s">
        <v>24</v>
      </c>
      <c r="B9" s="23"/>
      <c r="C9" s="23"/>
      <c r="D9" s="23"/>
      <c r="E9" s="23"/>
      <c r="F9" s="23"/>
      <c r="G9" s="23"/>
      <c r="H9" s="23"/>
      <c r="I9" s="23"/>
      <c r="J9" s="23"/>
      <c r="K9" s="21"/>
      <c r="L9" s="29"/>
      <c r="M9" s="21"/>
      <c r="N9" s="22"/>
      <c r="O9" s="21"/>
      <c r="P9" s="23"/>
      <c r="Q9" s="21"/>
      <c r="R9" s="21"/>
      <c r="S9" s="23"/>
      <c r="T9" s="23"/>
      <c r="U9" s="22"/>
      <c r="V9" s="21"/>
      <c r="W9" s="23"/>
      <c r="X9" s="21"/>
      <c r="Y9" s="21"/>
      <c r="Z9" s="21"/>
      <c r="AA9" s="21"/>
      <c r="AB9" s="22"/>
      <c r="AC9" s="21"/>
      <c r="AD9" s="21"/>
      <c r="AE9" s="21"/>
      <c r="AF9" s="21"/>
      <c r="AG9" s="25"/>
      <c r="AH9" s="26"/>
      <c r="AI9" s="6" t="s">
        <v>25</v>
      </c>
    </row>
    <row r="10">
      <c r="A10" s="17" t="s">
        <v>26</v>
      </c>
      <c r="B10" s="23">
        <v>5.5</v>
      </c>
      <c r="C10" s="23"/>
      <c r="D10" s="23"/>
      <c r="E10" s="23"/>
      <c r="F10" s="23"/>
      <c r="G10" s="23"/>
      <c r="H10" s="23"/>
      <c r="I10" s="23"/>
      <c r="J10" s="23"/>
      <c r="K10" s="22"/>
      <c r="L10" s="14"/>
      <c r="M10" s="21"/>
      <c r="N10" s="23"/>
      <c r="O10" s="21"/>
      <c r="P10" s="23"/>
      <c r="Q10" s="22"/>
      <c r="R10" s="21"/>
      <c r="S10" s="14"/>
      <c r="T10" s="21"/>
      <c r="U10" s="21"/>
      <c r="V10" s="21"/>
      <c r="W10" s="23"/>
      <c r="X10" s="21"/>
      <c r="Y10" s="21"/>
      <c r="Z10" s="22"/>
      <c r="AA10" s="21"/>
      <c r="AB10" s="23"/>
      <c r="AC10" s="21"/>
      <c r="AD10" s="21"/>
      <c r="AE10" s="21"/>
      <c r="AF10" s="21"/>
      <c r="AG10" s="25"/>
      <c r="AH10" s="26"/>
      <c r="AI10" s="6" t="s">
        <v>27</v>
      </c>
    </row>
    <row r="11">
      <c r="A11" s="36" t="s">
        <v>41</v>
      </c>
      <c r="B11" s="37"/>
      <c r="C11" s="37"/>
      <c r="D11" s="37"/>
      <c r="E11" s="37"/>
      <c r="F11" s="37"/>
      <c r="G11" s="37"/>
      <c r="H11" s="37"/>
      <c r="I11" s="37"/>
      <c r="J11" s="37"/>
      <c r="K11" s="38"/>
      <c r="L11" s="38"/>
      <c r="M11" s="38"/>
      <c r="N11" s="38"/>
      <c r="O11" s="38"/>
      <c r="P11" s="38"/>
      <c r="Q11" s="38"/>
      <c r="R11" s="38"/>
      <c r="S11" s="38"/>
      <c r="T11" s="39"/>
      <c r="U11" s="39"/>
      <c r="V11" s="39"/>
      <c r="W11" s="40"/>
      <c r="X11" s="39"/>
      <c r="Y11" s="38"/>
      <c r="Z11" s="38"/>
      <c r="AA11" s="39"/>
      <c r="AB11" s="40"/>
      <c r="AC11" s="39"/>
      <c r="AD11" s="38"/>
      <c r="AE11" s="38"/>
      <c r="AF11" s="38"/>
      <c r="AG11" s="41"/>
      <c r="AH11" s="42"/>
      <c r="AI11" s="6"/>
    </row>
    <row r="12">
      <c r="A12" s="43" t="s">
        <v>16</v>
      </c>
      <c r="B12" s="16"/>
      <c r="C12" s="16"/>
      <c r="D12" s="16"/>
      <c r="E12" s="16"/>
      <c r="F12" s="16"/>
      <c r="G12" s="16"/>
      <c r="H12" s="16"/>
      <c r="I12" s="16"/>
      <c r="J12" s="16"/>
      <c r="K12" s="44"/>
      <c r="L12" s="45"/>
      <c r="M12" s="46"/>
      <c r="N12" s="45"/>
      <c r="O12" s="46"/>
      <c r="P12" s="45"/>
      <c r="Q12" s="46"/>
      <c r="R12" s="45"/>
      <c r="S12" s="45"/>
      <c r="T12" s="44"/>
      <c r="U12" s="45"/>
      <c r="V12" s="44"/>
      <c r="W12" s="44"/>
      <c r="X12" s="45"/>
      <c r="Y12" s="45"/>
      <c r="Z12" s="45"/>
      <c r="AA12" s="44"/>
      <c r="AB12" s="45"/>
      <c r="AC12" s="44"/>
      <c r="AD12" s="45"/>
      <c r="AE12" s="45"/>
      <c r="AF12" s="45"/>
      <c r="AG12" s="5"/>
      <c r="AH12" s="5"/>
      <c r="AI12" s="6"/>
    </row>
    <row r="13">
      <c r="A13" s="47" t="s">
        <v>45</v>
      </c>
      <c r="B13" s="49">
        <v>6.0</v>
      </c>
      <c r="C13" s="48"/>
      <c r="D13" s="48"/>
      <c r="E13" s="48"/>
      <c r="F13" s="48"/>
      <c r="G13" s="48"/>
      <c r="H13" s="48"/>
      <c r="I13" s="48"/>
      <c r="J13" s="48"/>
      <c r="K13" s="48"/>
      <c r="L13" s="49"/>
      <c r="M13" s="48"/>
      <c r="N13" s="48"/>
      <c r="O13" s="49"/>
      <c r="P13" s="49"/>
      <c r="Q13" s="49"/>
      <c r="R13" s="48"/>
      <c r="S13" s="49"/>
      <c r="T13" s="48"/>
      <c r="U13" s="48"/>
      <c r="V13" s="49"/>
      <c r="W13" s="49"/>
      <c r="X13" s="49"/>
      <c r="Y13" s="48"/>
      <c r="Z13" s="49"/>
      <c r="AA13" s="48"/>
      <c r="AB13" s="48"/>
      <c r="AC13" s="48"/>
      <c r="AD13" s="48"/>
      <c r="AE13" s="48"/>
      <c r="AF13" s="48"/>
      <c r="AG13" s="48"/>
      <c r="AH13" s="48"/>
      <c r="AI13" s="49" t="s">
        <v>46</v>
      </c>
    </row>
  </sheetData>
  <mergeCells count="2">
    <mergeCell ref="A1:F1"/>
    <mergeCell ref="A6:AI6"/>
  </mergeCells>
  <drawing r:id="rId1"/>
</worksheet>
</file>